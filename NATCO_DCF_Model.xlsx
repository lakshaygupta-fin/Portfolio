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ksh\Desktop\DCF Models\"/>
    </mc:Choice>
  </mc:AlternateContent>
  <xr:revisionPtr revIDLastSave="0" documentId="13_ncr:1_{1EC2AC83-3F66-4B07-B28F-502F2CF4A8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ssumptions" sheetId="1" r:id="rId1"/>
    <sheet name="DCF Model" sheetId="2" r:id="rId2"/>
    <sheet name="Sensitivity" sheetId="3" r:id="rId3"/>
    <sheet name="Investment Thesis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2" l="1"/>
  <c r="F12" i="2"/>
  <c r="E12" i="2"/>
  <c r="D12" i="2"/>
  <c r="C12" i="2"/>
  <c r="B12" i="2"/>
  <c r="B5" i="2"/>
  <c r="B43" i="1"/>
  <c r="B41" i="1"/>
  <c r="B38" i="1"/>
  <c r="B44" i="1" s="1"/>
  <c r="B11" i="2" l="1"/>
  <c r="B7" i="2"/>
  <c r="B10" i="2" s="1"/>
  <c r="B6" i="2"/>
  <c r="C5" i="2"/>
  <c r="B17" i="2"/>
  <c r="C17" i="2"/>
  <c r="E17" i="2"/>
  <c r="F17" i="2"/>
  <c r="D17" i="2"/>
  <c r="B8" i="2" l="1"/>
  <c r="B9" i="2" s="1"/>
  <c r="B13" i="2" s="1"/>
  <c r="B18" i="2" s="1"/>
  <c r="D5" i="2"/>
  <c r="C6" i="2"/>
  <c r="C11" i="2"/>
  <c r="C7" i="2"/>
  <c r="C10" i="2" s="1"/>
  <c r="C8" i="2" l="1"/>
  <c r="C9" i="2" s="1"/>
  <c r="C13" i="2" s="1"/>
  <c r="C18" i="2" s="1"/>
  <c r="E5" i="2"/>
  <c r="D6" i="2"/>
  <c r="D7" i="2"/>
  <c r="D10" i="2" s="1"/>
  <c r="D11" i="2"/>
  <c r="D8" i="2" l="1"/>
  <c r="D9" i="2" s="1"/>
  <c r="D13" i="2" s="1"/>
  <c r="D18" i="2" s="1"/>
  <c r="F5" i="2"/>
  <c r="E6" i="2"/>
  <c r="E7" i="2"/>
  <c r="E10" i="2" s="1"/>
  <c r="E11" i="2"/>
  <c r="E8" i="2" l="1"/>
  <c r="E9" i="2" s="1"/>
  <c r="E13" i="2" s="1"/>
  <c r="E18" i="2" s="1"/>
  <c r="F6" i="2"/>
  <c r="F7" i="2"/>
  <c r="F10" i="2" s="1"/>
  <c r="F11" i="2"/>
  <c r="F8" i="2" l="1"/>
  <c r="F9" i="2" s="1"/>
  <c r="F13" i="2" s="1"/>
  <c r="B21" i="2" l="1"/>
  <c r="B22" i="2" s="1"/>
  <c r="F18" i="2"/>
  <c r="B25" i="2" s="1"/>
  <c r="H6" i="3" l="1"/>
  <c r="H5" i="3"/>
  <c r="F5" i="3"/>
  <c r="E5" i="3"/>
  <c r="B5" i="3"/>
  <c r="E11" i="3"/>
  <c r="D11" i="3"/>
  <c r="C11" i="3"/>
  <c r="B11" i="3"/>
  <c r="H10" i="3"/>
  <c r="G10" i="3"/>
  <c r="F10" i="3"/>
  <c r="E10" i="3"/>
  <c r="C7" i="3"/>
  <c r="B6" i="3"/>
  <c r="D10" i="3"/>
  <c r="C10" i="3"/>
  <c r="B10" i="3"/>
  <c r="H9" i="3"/>
  <c r="G9" i="3"/>
  <c r="E9" i="3"/>
  <c r="D9" i="3"/>
  <c r="C9" i="3"/>
  <c r="B7" i="3"/>
  <c r="H8" i="3"/>
  <c r="F8" i="3"/>
  <c r="E8" i="3"/>
  <c r="D8" i="3"/>
  <c r="C8" i="3"/>
  <c r="B8" i="3"/>
  <c r="B9" i="3"/>
  <c r="G8" i="3"/>
  <c r="H7" i="3"/>
  <c r="G7" i="3"/>
  <c r="F7" i="3"/>
  <c r="E7" i="3"/>
  <c r="D7" i="3"/>
  <c r="C5" i="3"/>
  <c r="F9" i="3"/>
  <c r="G6" i="3"/>
  <c r="F6" i="3"/>
  <c r="E6" i="3"/>
  <c r="D6" i="3"/>
  <c r="C6" i="3"/>
  <c r="G5" i="3"/>
  <c r="D5" i="3"/>
  <c r="B26" i="2"/>
  <c r="B29" i="2" s="1"/>
  <c r="B31" i="2" s="1"/>
  <c r="B34" i="2" s="1"/>
  <c r="B35" i="2" s="1"/>
  <c r="H11" i="3"/>
  <c r="G11" i="3"/>
  <c r="F11" i="3"/>
</calcChain>
</file>

<file path=xl/sharedStrings.xml><?xml version="1.0" encoding="utf-8"?>
<sst xmlns="http://schemas.openxmlformats.org/spreadsheetml/2006/main" count="109" uniqueCount="99">
  <si>
    <t>DCF VALUATION MODEL  |  ASSUMPTIONS SHEET</t>
  </si>
  <si>
    <t xml:space="preserve">  COMPANY INFORMATION</t>
  </si>
  <si>
    <t>Company Name</t>
  </si>
  <si>
    <t>Natco Pharma Ltd</t>
  </si>
  <si>
    <t>Stock Exchange</t>
  </si>
  <si>
    <t>NSE / BSE</t>
  </si>
  <si>
    <t>Ticker Symbol</t>
  </si>
  <si>
    <t>NATCOPHARM</t>
  </si>
  <si>
    <t>Currency</t>
  </si>
  <si>
    <t>INR</t>
  </si>
  <si>
    <t>Units</t>
  </si>
  <si>
    <t>₹ Crores</t>
  </si>
  <si>
    <t>Valuation Date</t>
  </si>
  <si>
    <t>Analyst Name</t>
  </si>
  <si>
    <t xml:space="preserve">  HISTORICAL FINANCIALS  (₹ Crores)  — source: Screener.in / Annual Reports</t>
  </si>
  <si>
    <t>Line Item</t>
  </si>
  <si>
    <t>FY2021</t>
  </si>
  <si>
    <t>FY2022</t>
  </si>
  <si>
    <t>FY2023</t>
  </si>
  <si>
    <t>FY2024</t>
  </si>
  <si>
    <t>FY2025</t>
  </si>
  <si>
    <t>Revenue</t>
  </si>
  <si>
    <t>EBITDA</t>
  </si>
  <si>
    <t>EBIT (Operating Profit)</t>
  </si>
  <si>
    <t>Depreciation &amp; Amortisation</t>
  </si>
  <si>
    <t>Net Profit (PAT)</t>
  </si>
  <si>
    <t>Capital Expenditure (Capex)</t>
  </si>
  <si>
    <t>Change in Working Capital</t>
  </si>
  <si>
    <t>Tax Rate (%)</t>
  </si>
  <si>
    <t>Shares Outstanding (Crores)</t>
  </si>
  <si>
    <t xml:space="preserve">  PROJECTION ASSUMPTIONS  (Change cells in YELLOW)</t>
  </si>
  <si>
    <t>Assumption</t>
  </si>
  <si>
    <t>FY2026E</t>
  </si>
  <si>
    <t>FY2027E</t>
  </si>
  <si>
    <t>FY2028E</t>
  </si>
  <si>
    <t>FY2029E</t>
  </si>
  <si>
    <t>FY2030E</t>
  </si>
  <si>
    <t>Revenue Growth Rate (%)</t>
  </si>
  <si>
    <t>EBITDA Margin (%)</t>
  </si>
  <si>
    <t>D&amp;A as % of Revenue (%)</t>
  </si>
  <si>
    <t>Capex as % of Revenue (%)</t>
  </si>
  <si>
    <t>ΔWorking Capital (₹ Cr)</t>
  </si>
  <si>
    <t>Risk-Free Rate (10-yr Gsec %)</t>
  </si>
  <si>
    <t>Equity Risk Premium (%)</t>
  </si>
  <si>
    <t>Beta (levered)</t>
  </si>
  <si>
    <t>Cost of Equity (%)</t>
  </si>
  <si>
    <t>Pre-Tax Cost of Debt (%)</t>
  </si>
  <si>
    <t>Tax Rate for WACC (%)</t>
  </si>
  <si>
    <t>After-Tax Cost of Debt (%)</t>
  </si>
  <si>
    <t>Equity Weight (%)</t>
  </si>
  <si>
    <t>Debt Weight (%)</t>
  </si>
  <si>
    <t>WACC (%)</t>
  </si>
  <si>
    <t>DCF VALUATION MODEL  |  FREE CASH FLOW &amp; VALUATION</t>
  </si>
  <si>
    <t>All figures in ₹ Crores unless stated. Formulas pull from Assumptions sheet.</t>
  </si>
  <si>
    <t xml:space="preserve">  FREE CASH FLOW BUILD-UP  (₹ Crores)</t>
  </si>
  <si>
    <t>NOPAT  [EBIT × (1 – Tax Rate)]</t>
  </si>
  <si>
    <t>Add: Depreciation &amp; Amortisation</t>
  </si>
  <si>
    <t>Less: Capital Expenditure (Capex)</t>
  </si>
  <si>
    <t>Less: Change in Working Capital (ΔWC)</t>
  </si>
  <si>
    <t>FREE CASH FLOW TO FIRM (FCFF)</t>
  </si>
  <si>
    <t xml:space="preserve">  DISCOUNTING  (WACC pulled from Assumptions)</t>
  </si>
  <si>
    <t>Discount Period (Year)</t>
  </si>
  <si>
    <t>Discount Factor  [1/(1+WACC)^t]</t>
  </si>
  <si>
    <t>PV of FCFF</t>
  </si>
  <si>
    <t xml:space="preserve">  TERMINAL VALUE  (Gordon Growth Model)</t>
  </si>
  <si>
    <t>Terminal Value  [FCF5 × (1+g) / (WACC – g)]</t>
  </si>
  <si>
    <t>PV of Terminal Value</t>
  </si>
  <si>
    <t xml:space="preserve">  VALUATION SUMMARY  (₹ Crores)</t>
  </si>
  <si>
    <t>Sum of PV of FCFFs</t>
  </si>
  <si>
    <t>Enterprise Value (EV)</t>
  </si>
  <si>
    <t>Equity Value</t>
  </si>
  <si>
    <t>Intrinsic Value per Share (₹)</t>
  </si>
  <si>
    <t>Current Market Price (₹)  ← enter</t>
  </si>
  <si>
    <t>Upside / (Downside) to CMP</t>
  </si>
  <si>
    <t>Recommendation</t>
  </si>
  <si>
    <t>SENSITIVITY ANALYSIS  |  Intrinsic Value per Share (₹)</t>
  </si>
  <si>
    <t>Rows = WACC (%)   |   Columns = Terminal Growth Rate (g %)</t>
  </si>
  <si>
    <t>WACC \ g</t>
  </si>
  <si>
    <t>INVESTMENT THESIS  |  NATCO PHARMA LTD (NSE: NATCOPHARM)</t>
  </si>
  <si>
    <t>Company Overview</t>
  </si>
  <si>
    <t>Natco Pharma Ltd is a vertically integrated, R&amp;D-focused pharma company based in Hyderabad. It operates across Export Formulations (US, Canada, EU), Domestic Formulations (oncology, hepatitis, crop health sciences), and APIs. Natco is known for Para IV first-to-file filings in the US and has been a key beneficiary of Lenalidomide (Revlimid) generic exclusivity since FY23. Market Cap: ~₹20,042 Cr | Shares: ~17.9 Cr | Face Value: ₹2.</t>
  </si>
  <si>
    <t>Investment Thesis</t>
  </si>
  <si>
    <t>Natco openly describes itself as a 'jackpot chaser' — it deliberately targets high-risk, high-reward generic molecules. The FY23–FY25 earnings boom was driven by Lenalidomide (blockbuster cancer drug), which gave it limited-competition exclusivity in the US. Beyond Revlimid, Natco has a deep pipeline of Para IV filings, oncology APIs, and is scaling crop health sciences. Its moat: deep R&amp;D capability, first-to-file IP expertise, and net-zero debt with ~₹3,500 Cr cash war chest for M&amp;A.</t>
  </si>
  <si>
    <t>Revenue &amp; Margin Outlook</t>
  </si>
  <si>
    <t>FY25 was peak earnings (Revenue ₹4,430 Cr, EBITDA ₹2,196 Cr, PAT ₹1,883 Cr, margin 50%). FY26 onwards, Lenalidomide exclusivity fades as more generics enter → revenues expected to decline ~15-17% in FY26. Recovery driven by: (1) new Para IV launches in US, (2) domestic oncology ramp-up, (3) crop health sciences growth, (4) API exports. Conservative assumption: normalised EBITDA margin of 28–34% post-Revlimid, recovering as new products scale.</t>
  </si>
  <si>
    <t>Key Risks</t>
  </si>
  <si>
    <t>1. Revlimid cliff: FY26–27 earnings will compress sharply as Lenalidomide competition intensifies — this is the single biggest near-term risk.
2. USFDA regulatory risk: Kothur site is under remediation; any import alert would severely impact US revenues.
3. Pipeline execution risk: Para IV wins are lumpy and unpredictable by nature.
4. Concentration risk: top product/molecule contributes disproportionate revenue.
5. Currency risk: ~60% revenues in USD; INR appreciation hurts.</t>
  </si>
  <si>
    <t>Valuation Summary</t>
  </si>
  <si>
    <t>Intrinsic Value: ₹___ (computed by model)  |  CMP: ₹1,119  |  Mkt Cap: ₹20,042 Cr  |  P/E: 12.8x (FY25)  |  Book Value: ₹483  |  ROCE: 32.8%  |  ROE: 28%  |  Debt: ₹279 Cr (near debt-free)  |  Cash: ~₹3,500 Cr</t>
  </si>
  <si>
    <t>Comparable Companies</t>
  </si>
  <si>
    <t>Peers: Sun Pharma (~28x P/E), Dr. Reddy's (~18x), Cipla (~22x), Aurobindo (~12x). Natco at 12.8x P/E (FY25 earnings) looks cheap, but FY25 was a peak year. On normalised FY27E earnings (PAT ~₹850–950 Cr), the P/E re-rates to ~21–23x — in line with peers. EV/EBITDA on normalised basis: ~15x, fair for quality pharma.</t>
  </si>
  <si>
    <t>Conclusion</t>
  </si>
  <si>
    <t>Natco is a high-quality compounder with episodic earnings spikes. The Revlimid windfall (FY23–FY25) has been exceptional; the next 2 years will see normalisation. Long-term, the pipeline of Para IV filings and domestic oncology franchise supports 12–15% EPS CAGR post-FY27. BUY only if the DCF model shows &gt;15% upside on conservative (normalised) assumptions. The large cash balance (₹3,500 Cr) provides significant downside protection and optionality for acquisitions.</t>
  </si>
  <si>
    <t>Lakshay Gupta</t>
  </si>
  <si>
    <t>Terminal growth rate</t>
  </si>
  <si>
    <t>Terminal growth rate assumption</t>
  </si>
  <si>
    <t xml:space="preserve">Less: Total Debt (₹ Cr)  </t>
  </si>
  <si>
    <t xml:space="preserve">Shares Outstanding (Crores) </t>
  </si>
  <si>
    <t xml:space="preserve">Add: Cash &amp; Equivalents (₹ Cr)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</si>
</sst>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yy"/>
    <numFmt numFmtId="165" formatCode="0.0%"/>
    <numFmt numFmtId="166" formatCode="#,##0;\(#,##0\);\-"/>
    <numFmt numFmtId="167" formatCode="0.0000"/>
    <numFmt numFmtId="168" formatCode="#,##0.0"/>
    <numFmt numFmtId="169" formatCode="\₹#,##0.00"/>
    <numFmt numFmtId="170" formatCode="\₹#,##0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9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9" fillId="0" borderId="0" xfId="0" applyFont="1" applyAlignment="1">
      <alignment wrapText="1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165" fontId="4" fillId="4" borderId="2" xfId="0" applyNumberFormat="1" applyFont="1" applyFill="1" applyBorder="1"/>
    <xf numFmtId="165" fontId="6" fillId="5" borderId="2" xfId="0" applyNumberFormat="1" applyFont="1" applyFill="1" applyBorder="1"/>
    <xf numFmtId="0" fontId="0" fillId="5" borderId="0" xfId="0" applyFill="1"/>
    <xf numFmtId="0" fontId="6" fillId="5" borderId="2" xfId="0" applyFont="1" applyFill="1" applyBorder="1" applyAlignment="1">
      <alignment horizontal="center" vertical="center" wrapText="1"/>
    </xf>
    <xf numFmtId="166" fontId="4" fillId="4" borderId="2" xfId="0" applyNumberFormat="1" applyFont="1" applyFill="1" applyBorder="1"/>
    <xf numFmtId="166" fontId="7" fillId="5" borderId="2" xfId="0" applyNumberFormat="1" applyFont="1" applyFill="1" applyBorder="1"/>
    <xf numFmtId="167" fontId="4" fillId="4" borderId="2" xfId="0" applyNumberFormat="1" applyFont="1" applyFill="1" applyBorder="1"/>
    <xf numFmtId="166" fontId="6" fillId="4" borderId="2" xfId="0" applyNumberFormat="1" applyFont="1" applyFill="1" applyBorder="1"/>
    <xf numFmtId="0" fontId="3" fillId="2" borderId="2" xfId="0" applyFont="1" applyFill="1" applyBorder="1" applyAlignment="1">
      <alignment horizontal="left" vertical="center"/>
    </xf>
    <xf numFmtId="169" fontId="8" fillId="2" borderId="2" xfId="0" applyNumberFormat="1" applyFont="1" applyFill="1" applyBorder="1"/>
    <xf numFmtId="0" fontId="6" fillId="4" borderId="2" xfId="0" applyFont="1" applyFill="1" applyBorder="1" applyAlignment="1">
      <alignment horizontal="left" vertical="center"/>
    </xf>
    <xf numFmtId="165" fontId="6" fillId="4" borderId="2" xfId="0" applyNumberFormat="1" applyFont="1" applyFill="1" applyBorder="1"/>
    <xf numFmtId="0" fontId="6" fillId="4" borderId="2" xfId="0" applyFont="1" applyFill="1" applyBorder="1"/>
    <xf numFmtId="165" fontId="6" fillId="5" borderId="2" xfId="0" applyNumberFormat="1" applyFont="1" applyFill="1" applyBorder="1" applyAlignment="1">
      <alignment horizontal="center" vertical="center" wrapText="1"/>
    </xf>
    <xf numFmtId="170" fontId="4" fillId="4" borderId="2" xfId="0" applyNumberFormat="1" applyFont="1" applyFill="1" applyBorder="1"/>
    <xf numFmtId="0" fontId="3" fillId="3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top" wrapText="1"/>
    </xf>
    <xf numFmtId="166" fontId="11" fillId="4" borderId="2" xfId="0" applyNumberFormat="1" applyFont="1" applyFill="1" applyBorder="1"/>
    <xf numFmtId="1" fontId="11" fillId="4" borderId="2" xfId="0" applyNumberFormat="1" applyFont="1" applyFill="1" applyBorder="1"/>
    <xf numFmtId="166" fontId="12" fillId="5" borderId="2" xfId="0" applyNumberFormat="1" applyFont="1" applyFill="1" applyBorder="1"/>
    <xf numFmtId="168" fontId="11" fillId="4" borderId="2" xfId="0" applyNumberFormat="1" applyFont="1" applyFill="1" applyBorder="1"/>
    <xf numFmtId="3" fontId="11" fillId="6" borderId="2" xfId="0" applyNumberFormat="1" applyFont="1" applyFill="1" applyBorder="1"/>
    <xf numFmtId="169" fontId="11" fillId="6" borderId="2" xfId="0" applyNumberFormat="1" applyFont="1" applyFill="1" applyBorder="1"/>
    <xf numFmtId="3" fontId="11" fillId="6" borderId="2" xfId="0" applyNumberFormat="1" applyFont="1" applyFill="1" applyBorder="1" applyAlignment="1">
      <alignment horizontal="right" vertical="center"/>
    </xf>
    <xf numFmtId="165" fontId="11" fillId="6" borderId="2" xfId="0" applyNumberFormat="1" applyFont="1" applyFill="1" applyBorder="1" applyAlignment="1">
      <alignment horizontal="right" vertical="center"/>
    </xf>
    <xf numFmtId="4" fontId="11" fillId="6" borderId="2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/>
    </xf>
    <xf numFmtId="0" fontId="0" fillId="8" borderId="0" xfId="0" applyFill="1"/>
    <xf numFmtId="0" fontId="11" fillId="6" borderId="2" xfId="0" applyFont="1" applyFill="1" applyBorder="1" applyAlignment="1">
      <alignment horizontal="right" vertical="center"/>
    </xf>
    <xf numFmtId="164" fontId="11" fillId="6" borderId="2" xfId="0" applyNumberFormat="1" applyFont="1" applyFill="1" applyBorder="1" applyAlignment="1">
      <alignment horizontal="right" vertical="center"/>
    </xf>
    <xf numFmtId="0" fontId="0" fillId="7" borderId="0" xfId="0" applyFont="1" applyFill="1"/>
    <xf numFmtId="2" fontId="11" fillId="6" borderId="2" xfId="0" applyNumberFormat="1" applyFont="1" applyFill="1" applyBorder="1" applyAlignment="1">
      <alignment horizontal="right" vertical="center"/>
    </xf>
    <xf numFmtId="165" fontId="11" fillId="9" borderId="2" xfId="0" applyNumberFormat="1" applyFont="1" applyFill="1" applyBorder="1"/>
    <xf numFmtId="0" fontId="14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65" fontId="5" fillId="6" borderId="0" xfId="0" applyNumberFormat="1" applyFont="1" applyFill="1" applyBorder="1" applyAlignment="1">
      <alignment horizontal="right" vertical="center"/>
    </xf>
    <xf numFmtId="0" fontId="13" fillId="9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tabSelected="1" zoomScale="76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2" sqref="N22"/>
    </sheetView>
  </sheetViews>
  <sheetFormatPr defaultColWidth="8.6640625" defaultRowHeight="14.4" x14ac:dyDescent="0.3"/>
  <cols>
    <col min="1" max="1" width="40" customWidth="1"/>
    <col min="2" max="7" width="18" customWidth="1"/>
  </cols>
  <sheetData>
    <row r="1" spans="1:7" ht="15.75" customHeight="1" x14ac:dyDescent="0.3">
      <c r="A1" s="5" t="s">
        <v>0</v>
      </c>
      <c r="B1" s="5"/>
      <c r="C1" s="5"/>
      <c r="D1" s="5"/>
      <c r="E1" s="5"/>
      <c r="F1" s="5"/>
      <c r="G1" s="5"/>
    </row>
    <row r="2" spans="1:7" ht="15" customHeight="1" x14ac:dyDescent="0.3">
      <c r="A2" s="46"/>
      <c r="B2" s="4"/>
      <c r="C2" s="4"/>
      <c r="D2" s="4"/>
      <c r="E2" s="4"/>
      <c r="F2" s="4"/>
      <c r="G2" s="4"/>
    </row>
    <row r="4" spans="1:7" ht="15" customHeight="1" x14ac:dyDescent="0.3">
      <c r="A4" s="3" t="s">
        <v>1</v>
      </c>
      <c r="B4" s="3"/>
      <c r="C4" s="3"/>
      <c r="D4" s="3"/>
      <c r="E4" s="3"/>
      <c r="F4" s="3"/>
      <c r="G4" s="3"/>
    </row>
    <row r="5" spans="1:7" ht="15" customHeight="1" x14ac:dyDescent="0.3">
      <c r="A5" s="6" t="s">
        <v>2</v>
      </c>
      <c r="B5" s="37" t="s">
        <v>3</v>
      </c>
    </row>
    <row r="6" spans="1:7" ht="15" customHeight="1" x14ac:dyDescent="0.3">
      <c r="A6" s="6" t="s">
        <v>4</v>
      </c>
      <c r="B6" s="37" t="s">
        <v>5</v>
      </c>
    </row>
    <row r="7" spans="1:7" ht="15" customHeight="1" x14ac:dyDescent="0.3">
      <c r="A7" s="6" t="s">
        <v>6</v>
      </c>
      <c r="B7" s="37" t="s">
        <v>7</v>
      </c>
    </row>
    <row r="8" spans="1:7" ht="15" customHeight="1" x14ac:dyDescent="0.3">
      <c r="A8" s="6" t="s">
        <v>8</v>
      </c>
      <c r="B8" s="37" t="s">
        <v>9</v>
      </c>
    </row>
    <row r="9" spans="1:7" ht="15" customHeight="1" x14ac:dyDescent="0.3">
      <c r="A9" s="6" t="s">
        <v>10</v>
      </c>
      <c r="B9" s="37" t="s">
        <v>11</v>
      </c>
    </row>
    <row r="10" spans="1:7" ht="15" customHeight="1" x14ac:dyDescent="0.3">
      <c r="A10" s="6" t="s">
        <v>12</v>
      </c>
      <c r="B10" s="38">
        <v>46169</v>
      </c>
    </row>
    <row r="11" spans="1:7" ht="15" customHeight="1" x14ac:dyDescent="0.3">
      <c r="A11" s="6" t="s">
        <v>13</v>
      </c>
      <c r="B11" s="37" t="s">
        <v>93</v>
      </c>
    </row>
    <row r="12" spans="1:7" x14ac:dyDescent="0.3">
      <c r="B12" s="39"/>
    </row>
    <row r="13" spans="1:7" ht="15" customHeight="1" x14ac:dyDescent="0.3">
      <c r="A13" s="3" t="s">
        <v>14</v>
      </c>
      <c r="B13" s="3"/>
      <c r="C13" s="3"/>
      <c r="D13" s="3"/>
      <c r="E13" s="3"/>
      <c r="F13" s="3"/>
      <c r="G13" s="3"/>
    </row>
    <row r="14" spans="1:7" ht="15" customHeight="1" x14ac:dyDescent="0.3">
      <c r="A14" s="7" t="s">
        <v>15</v>
      </c>
      <c r="B14" s="8" t="s">
        <v>16</v>
      </c>
      <c r="C14" s="8" t="s">
        <v>17</v>
      </c>
      <c r="D14" s="8" t="s">
        <v>18</v>
      </c>
      <c r="E14" s="8" t="s">
        <v>19</v>
      </c>
      <c r="F14" s="8" t="s">
        <v>20</v>
      </c>
    </row>
    <row r="15" spans="1:7" ht="15" customHeight="1" x14ac:dyDescent="0.3">
      <c r="A15" s="6" t="s">
        <v>21</v>
      </c>
      <c r="B15" s="32">
        <v>2052</v>
      </c>
      <c r="C15" s="32">
        <v>1945</v>
      </c>
      <c r="D15" s="32">
        <v>2707</v>
      </c>
      <c r="E15" s="32">
        <v>3999</v>
      </c>
      <c r="F15" s="32">
        <v>4430</v>
      </c>
    </row>
    <row r="16" spans="1:7" ht="15" customHeight="1" x14ac:dyDescent="0.3">
      <c r="A16" s="6" t="s">
        <v>22</v>
      </c>
      <c r="B16" s="32">
        <v>606</v>
      </c>
      <c r="C16" s="32">
        <v>264</v>
      </c>
      <c r="D16" s="32">
        <v>936</v>
      </c>
      <c r="E16" s="32">
        <v>1754</v>
      </c>
      <c r="F16" s="32">
        <v>2196</v>
      </c>
    </row>
    <row r="17" spans="1:7" ht="15" customHeight="1" x14ac:dyDescent="0.3">
      <c r="A17" s="6" t="s">
        <v>23</v>
      </c>
      <c r="B17" s="32">
        <v>489</v>
      </c>
      <c r="C17" s="32">
        <v>121</v>
      </c>
      <c r="D17" s="32">
        <v>772</v>
      </c>
      <c r="E17" s="32">
        <v>1567</v>
      </c>
      <c r="F17" s="32">
        <v>1961</v>
      </c>
    </row>
    <row r="18" spans="1:7" ht="15" customHeight="1" x14ac:dyDescent="0.3">
      <c r="A18" s="6" t="s">
        <v>24</v>
      </c>
      <c r="B18" s="32">
        <v>117</v>
      </c>
      <c r="C18" s="32">
        <v>143</v>
      </c>
      <c r="D18" s="32">
        <v>164</v>
      </c>
      <c r="E18" s="32">
        <v>187</v>
      </c>
      <c r="F18" s="32">
        <v>235</v>
      </c>
    </row>
    <row r="19" spans="1:7" ht="15" customHeight="1" x14ac:dyDescent="0.3">
      <c r="A19" s="6" t="s">
        <v>25</v>
      </c>
      <c r="B19" s="32">
        <v>442</v>
      </c>
      <c r="C19" s="32">
        <v>170</v>
      </c>
      <c r="D19" s="32">
        <v>715</v>
      </c>
      <c r="E19" s="32">
        <v>1388</v>
      </c>
      <c r="F19" s="32">
        <v>1883</v>
      </c>
    </row>
    <row r="20" spans="1:7" ht="15" customHeight="1" x14ac:dyDescent="0.3">
      <c r="A20" s="6" t="s">
        <v>26</v>
      </c>
      <c r="B20" s="32">
        <v>207</v>
      </c>
      <c r="C20" s="32">
        <v>188</v>
      </c>
      <c r="D20" s="32">
        <v>175</v>
      </c>
      <c r="E20" s="32">
        <v>357</v>
      </c>
      <c r="F20" s="32">
        <v>397</v>
      </c>
    </row>
    <row r="21" spans="1:7" ht="15" customHeight="1" x14ac:dyDescent="0.3">
      <c r="A21" s="6" t="s">
        <v>27</v>
      </c>
      <c r="B21" s="32">
        <v>200</v>
      </c>
      <c r="C21" s="32">
        <v>300</v>
      </c>
      <c r="D21" s="32">
        <v>80</v>
      </c>
      <c r="E21" s="32">
        <v>180</v>
      </c>
      <c r="F21" s="32">
        <v>150</v>
      </c>
    </row>
    <row r="22" spans="1:7" ht="15" customHeight="1" x14ac:dyDescent="0.3">
      <c r="A22" s="35" t="s">
        <v>28</v>
      </c>
      <c r="B22" s="33">
        <v>0.24</v>
      </c>
      <c r="C22" s="33">
        <v>0.16</v>
      </c>
      <c r="D22" s="33">
        <v>0.17</v>
      </c>
      <c r="E22" s="33">
        <v>0.17</v>
      </c>
      <c r="F22" s="33">
        <v>0.18</v>
      </c>
    </row>
    <row r="23" spans="1:7" ht="15" customHeight="1" x14ac:dyDescent="0.3">
      <c r="A23" s="6" t="s">
        <v>29</v>
      </c>
      <c r="B23" s="34">
        <v>17.89</v>
      </c>
      <c r="C23" s="34">
        <v>17.89</v>
      </c>
      <c r="D23" s="34">
        <v>17.89</v>
      </c>
      <c r="E23" s="34">
        <v>17.89</v>
      </c>
      <c r="F23" s="34">
        <v>17.89</v>
      </c>
    </row>
    <row r="25" spans="1:7" ht="15" customHeight="1" x14ac:dyDescent="0.3">
      <c r="A25" s="3" t="s">
        <v>30</v>
      </c>
      <c r="B25" s="3"/>
      <c r="C25" s="3"/>
      <c r="D25" s="3"/>
      <c r="E25" s="3"/>
      <c r="F25" s="3"/>
      <c r="G25" s="3"/>
    </row>
    <row r="26" spans="1:7" ht="15" customHeight="1" x14ac:dyDescent="0.3">
      <c r="A26" s="7" t="s">
        <v>31</v>
      </c>
      <c r="B26" s="8" t="s">
        <v>32</v>
      </c>
      <c r="C26" s="8" t="s">
        <v>33</v>
      </c>
      <c r="D26" s="8" t="s">
        <v>34</v>
      </c>
      <c r="E26" s="8" t="s">
        <v>35</v>
      </c>
      <c r="F26" s="8" t="s">
        <v>36</v>
      </c>
    </row>
    <row r="27" spans="1:7" ht="15" customHeight="1" x14ac:dyDescent="0.3">
      <c r="A27" s="6" t="s">
        <v>37</v>
      </c>
      <c r="B27" s="33">
        <v>-0.1</v>
      </c>
      <c r="C27" s="33">
        <v>-0.08</v>
      </c>
      <c r="D27" s="33">
        <v>0.1</v>
      </c>
      <c r="E27" s="33">
        <v>0.12</v>
      </c>
      <c r="F27" s="33">
        <v>0.12</v>
      </c>
    </row>
    <row r="28" spans="1:7" ht="15" customHeight="1" x14ac:dyDescent="0.3">
      <c r="A28" s="6" t="s">
        <v>38</v>
      </c>
      <c r="B28" s="33">
        <v>0.3</v>
      </c>
      <c r="C28" s="33">
        <v>0.28000000000000003</v>
      </c>
      <c r="D28" s="33">
        <v>0.3</v>
      </c>
      <c r="E28" s="33">
        <v>0.32</v>
      </c>
      <c r="F28" s="33">
        <v>0.34</v>
      </c>
    </row>
    <row r="29" spans="1:7" ht="15" customHeight="1" x14ac:dyDescent="0.3">
      <c r="A29" s="6" t="s">
        <v>39</v>
      </c>
      <c r="B29" s="33">
        <v>5.5E-2</v>
      </c>
      <c r="C29" s="33">
        <v>0.06</v>
      </c>
      <c r="D29" s="33">
        <v>5.8000000000000003E-2</v>
      </c>
      <c r="E29" s="33">
        <v>5.5E-2</v>
      </c>
      <c r="F29" s="33">
        <v>5.5E-2</v>
      </c>
    </row>
    <row r="30" spans="1:7" ht="15" customHeight="1" x14ac:dyDescent="0.3">
      <c r="A30" s="6" t="s">
        <v>40</v>
      </c>
      <c r="B30" s="33">
        <v>0.09</v>
      </c>
      <c r="C30" s="33">
        <v>9.5000000000000001E-2</v>
      </c>
      <c r="D30" s="33">
        <v>8.5000000000000006E-2</v>
      </c>
      <c r="E30" s="33">
        <v>0.08</v>
      </c>
      <c r="F30" s="33">
        <v>7.4999999999999997E-2</v>
      </c>
    </row>
    <row r="31" spans="1:7" ht="15" customHeight="1" x14ac:dyDescent="0.3">
      <c r="A31" s="6" t="s">
        <v>41</v>
      </c>
      <c r="B31" s="32">
        <v>100</v>
      </c>
      <c r="C31" s="32">
        <v>80</v>
      </c>
      <c r="D31" s="32">
        <v>120</v>
      </c>
      <c r="E31" s="32">
        <v>130</v>
      </c>
      <c r="F31" s="32">
        <v>140</v>
      </c>
    </row>
    <row r="32" spans="1:7" ht="15" customHeight="1" x14ac:dyDescent="0.3">
      <c r="A32" s="6" t="s">
        <v>28</v>
      </c>
      <c r="B32" s="33">
        <v>0.18</v>
      </c>
      <c r="C32" s="33">
        <v>0.18</v>
      </c>
      <c r="D32" s="33">
        <v>0.19</v>
      </c>
      <c r="E32" s="33">
        <v>0.2</v>
      </c>
      <c r="F32" s="33">
        <v>0.2</v>
      </c>
    </row>
    <row r="34" spans="1:7" ht="15" customHeight="1" x14ac:dyDescent="0.3"/>
    <row r="35" spans="1:7" ht="15" customHeight="1" x14ac:dyDescent="0.3">
      <c r="A35" s="6" t="s">
        <v>42</v>
      </c>
      <c r="B35" s="33">
        <v>7.0999999999999994E-2</v>
      </c>
    </row>
    <row r="36" spans="1:7" ht="15" customHeight="1" x14ac:dyDescent="0.3">
      <c r="A36" s="6" t="s">
        <v>43</v>
      </c>
      <c r="B36" s="33">
        <v>5.5E-2</v>
      </c>
    </row>
    <row r="37" spans="1:7" ht="15" customHeight="1" x14ac:dyDescent="0.3">
      <c r="A37" s="6" t="s">
        <v>44</v>
      </c>
      <c r="B37" s="40">
        <v>0.75</v>
      </c>
    </row>
    <row r="38" spans="1:7" ht="15" customHeight="1" x14ac:dyDescent="0.3">
      <c r="A38" s="6" t="s">
        <v>45</v>
      </c>
      <c r="B38" s="41">
        <f>B35+B37*B36</f>
        <v>0.11224999999999999</v>
      </c>
    </row>
    <row r="39" spans="1:7" ht="15" customHeight="1" x14ac:dyDescent="0.3">
      <c r="A39" s="6" t="s">
        <v>46</v>
      </c>
      <c r="B39" s="33">
        <v>8.5000000000000006E-2</v>
      </c>
    </row>
    <row r="40" spans="1:7" ht="15" customHeight="1" x14ac:dyDescent="0.3">
      <c r="A40" s="6" t="s">
        <v>47</v>
      </c>
      <c r="B40" s="33">
        <v>0.18</v>
      </c>
    </row>
    <row r="41" spans="1:7" ht="15" customHeight="1" x14ac:dyDescent="0.3">
      <c r="A41" s="6" t="s">
        <v>48</v>
      </c>
      <c r="B41" s="41">
        <f>B39*(1-B40)</f>
        <v>6.9700000000000012E-2</v>
      </c>
    </row>
    <row r="42" spans="1:7" ht="15" customHeight="1" x14ac:dyDescent="0.3">
      <c r="A42" s="6" t="s">
        <v>49</v>
      </c>
      <c r="B42" s="33">
        <v>0.96</v>
      </c>
    </row>
    <row r="43" spans="1:7" ht="15" customHeight="1" x14ac:dyDescent="0.3">
      <c r="A43" s="6" t="s">
        <v>50</v>
      </c>
      <c r="B43" s="9">
        <f>1-B42</f>
        <v>4.0000000000000036E-2</v>
      </c>
    </row>
    <row r="44" spans="1:7" ht="15" customHeight="1" x14ac:dyDescent="0.3">
      <c r="A44" s="6" t="s">
        <v>51</v>
      </c>
      <c r="B44" s="10">
        <f>B38*B42+B41*B43</f>
        <v>0.11054799999999998</v>
      </c>
    </row>
    <row r="46" spans="1:7" s="36" customFormat="1" ht="15" customHeight="1" x14ac:dyDescent="0.3">
      <c r="A46" s="42" t="s">
        <v>95</v>
      </c>
      <c r="B46" s="43"/>
      <c r="C46" s="3"/>
      <c r="D46" s="3"/>
      <c r="E46" s="3"/>
      <c r="F46" s="3"/>
      <c r="G46" s="3"/>
    </row>
    <row r="47" spans="1:7" s="36" customFormat="1" ht="15" customHeight="1" x14ac:dyDescent="0.3">
      <c r="A47" s="45" t="s">
        <v>94</v>
      </c>
      <c r="B47" s="44">
        <v>0.05</v>
      </c>
    </row>
  </sheetData>
  <mergeCells count="6">
    <mergeCell ref="A46:G46"/>
    <mergeCell ref="A1:G1"/>
    <mergeCell ref="A2:G2"/>
    <mergeCell ref="A4:G4"/>
    <mergeCell ref="A13:G13"/>
    <mergeCell ref="A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showGridLines="0" zoomScaleNormal="10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A29" sqref="A29"/>
    </sheetView>
  </sheetViews>
  <sheetFormatPr defaultColWidth="8.6640625" defaultRowHeight="14.4" x14ac:dyDescent="0.3"/>
  <cols>
    <col min="1" max="1" width="42" customWidth="1"/>
    <col min="2" max="7" width="16" customWidth="1"/>
  </cols>
  <sheetData>
    <row r="1" spans="1:7" ht="15.75" customHeight="1" x14ac:dyDescent="0.3">
      <c r="A1" s="5" t="s">
        <v>52</v>
      </c>
      <c r="B1" s="5"/>
      <c r="C1" s="5"/>
      <c r="D1" s="5"/>
      <c r="E1" s="5"/>
      <c r="F1" s="5"/>
      <c r="G1" s="5"/>
    </row>
    <row r="2" spans="1:7" ht="15" customHeight="1" x14ac:dyDescent="0.3">
      <c r="A2" s="4" t="s">
        <v>53</v>
      </c>
      <c r="B2" s="4"/>
      <c r="C2" s="4"/>
      <c r="D2" s="4"/>
      <c r="E2" s="4"/>
      <c r="F2" s="4"/>
      <c r="G2" s="4"/>
    </row>
    <row r="3" spans="1:7" ht="15" customHeight="1" x14ac:dyDescent="0.3">
      <c r="A3" s="11"/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12"/>
    </row>
    <row r="4" spans="1:7" ht="15" customHeight="1" x14ac:dyDescent="0.3">
      <c r="A4" s="3" t="s">
        <v>54</v>
      </c>
      <c r="B4" s="3"/>
      <c r="C4" s="3"/>
      <c r="D4" s="3"/>
      <c r="E4" s="3"/>
      <c r="F4" s="3"/>
      <c r="G4" s="3"/>
    </row>
    <row r="5" spans="1:7" ht="15" customHeight="1" x14ac:dyDescent="0.3">
      <c r="A5" s="6" t="s">
        <v>21</v>
      </c>
      <c r="B5" s="26">
        <f>Assumptions!F15*(1+Assumptions!B27)</f>
        <v>3987</v>
      </c>
      <c r="C5" s="26">
        <f>B5*(1+Assumptions!C27)</f>
        <v>3668.04</v>
      </c>
      <c r="D5" s="26">
        <f>C5*(1+Assumptions!D27)</f>
        <v>4034.8440000000005</v>
      </c>
      <c r="E5" s="26">
        <f>D5*(1+Assumptions!E27)</f>
        <v>4519.0252800000007</v>
      </c>
      <c r="F5" s="26">
        <f>E5*(1+Assumptions!F27)</f>
        <v>5061.3083136000014</v>
      </c>
    </row>
    <row r="6" spans="1:7" ht="15" customHeight="1" x14ac:dyDescent="0.3">
      <c r="A6" s="6" t="s">
        <v>22</v>
      </c>
      <c r="B6" s="26">
        <f>B5*Assumptions!B28</f>
        <v>1196.0999999999999</v>
      </c>
      <c r="C6" s="26">
        <f>C5*Assumptions!C28</f>
        <v>1027.0512000000001</v>
      </c>
      <c r="D6" s="26">
        <f>D5*Assumptions!D28</f>
        <v>1210.4532000000002</v>
      </c>
      <c r="E6" s="26">
        <f>E5*Assumptions!E28</f>
        <v>1446.0880896000003</v>
      </c>
      <c r="F6" s="26">
        <f>F5*Assumptions!F28</f>
        <v>1720.8448266240007</v>
      </c>
    </row>
    <row r="7" spans="1:7" ht="15" customHeight="1" x14ac:dyDescent="0.3">
      <c r="A7" s="6" t="s">
        <v>24</v>
      </c>
      <c r="B7" s="26">
        <f>B5*Assumptions!B29</f>
        <v>219.285</v>
      </c>
      <c r="C7" s="26">
        <f>C5*Assumptions!C29</f>
        <v>220.08239999999998</v>
      </c>
      <c r="D7" s="26">
        <f>D5*Assumptions!D29</f>
        <v>234.02095200000005</v>
      </c>
      <c r="E7" s="26">
        <f>E5*Assumptions!E29</f>
        <v>248.54639040000004</v>
      </c>
      <c r="F7" s="26">
        <f>F5*Assumptions!F29</f>
        <v>278.37195724800006</v>
      </c>
    </row>
    <row r="8" spans="1:7" ht="15" customHeight="1" x14ac:dyDescent="0.3">
      <c r="A8" s="6" t="s">
        <v>23</v>
      </c>
      <c r="B8" s="26">
        <f>B6-B7</f>
        <v>976.81499999999994</v>
      </c>
      <c r="C8" s="26">
        <f>C6-C7</f>
        <v>806.9688000000001</v>
      </c>
      <c r="D8" s="26">
        <f>D6-D7</f>
        <v>976.43224800000007</v>
      </c>
      <c r="E8" s="26">
        <f>E6-E7</f>
        <v>1197.5416992000003</v>
      </c>
      <c r="F8" s="26">
        <f>F6-F7</f>
        <v>1442.4728693760007</v>
      </c>
    </row>
    <row r="9" spans="1:7" ht="15" customHeight="1" x14ac:dyDescent="0.3">
      <c r="A9" s="6" t="s">
        <v>55</v>
      </c>
      <c r="B9" s="26">
        <f>B8*(1-Assumptions!B32)</f>
        <v>800.98829999999998</v>
      </c>
      <c r="C9" s="26">
        <f>C8*(1-Assumptions!C32)</f>
        <v>661.71441600000014</v>
      </c>
      <c r="D9" s="26">
        <f>D8*(1-Assumptions!D32)</f>
        <v>790.91012088000014</v>
      </c>
      <c r="E9" s="26">
        <f>E8*(1-Assumptions!E32)</f>
        <v>958.0333593600003</v>
      </c>
      <c r="F9" s="26">
        <f>F8*(1-Assumptions!F32)</f>
        <v>1153.9782955008006</v>
      </c>
    </row>
    <row r="10" spans="1:7" ht="15" customHeight="1" x14ac:dyDescent="0.3">
      <c r="A10" s="6" t="s">
        <v>56</v>
      </c>
      <c r="B10" s="26">
        <f>B7</f>
        <v>219.285</v>
      </c>
      <c r="C10" s="26">
        <f>C7</f>
        <v>220.08239999999998</v>
      </c>
      <c r="D10" s="26">
        <f>D7</f>
        <v>234.02095200000005</v>
      </c>
      <c r="E10" s="26">
        <f>E7</f>
        <v>248.54639040000004</v>
      </c>
      <c r="F10" s="26">
        <f>F7</f>
        <v>278.37195724800006</v>
      </c>
    </row>
    <row r="11" spans="1:7" ht="15" customHeight="1" x14ac:dyDescent="0.3">
      <c r="A11" s="6" t="s">
        <v>57</v>
      </c>
      <c r="B11" s="26">
        <f>B5*Assumptions!B30</f>
        <v>358.83</v>
      </c>
      <c r="C11" s="26">
        <f>C5*Assumptions!C30</f>
        <v>348.46379999999999</v>
      </c>
      <c r="D11" s="26">
        <f>D5*Assumptions!D30</f>
        <v>342.96174000000008</v>
      </c>
      <c r="E11" s="26">
        <f>E5*Assumptions!E30</f>
        <v>361.52202240000008</v>
      </c>
      <c r="F11" s="26">
        <f>F5*Assumptions!F30</f>
        <v>379.59812352000012</v>
      </c>
    </row>
    <row r="12" spans="1:7" ht="15" customHeight="1" x14ac:dyDescent="0.3">
      <c r="A12" s="6" t="s">
        <v>58</v>
      </c>
      <c r="B12" s="26">
        <f>Assumptions!B31</f>
        <v>100</v>
      </c>
      <c r="C12" s="26">
        <f>Assumptions!C31</f>
        <v>80</v>
      </c>
      <c r="D12" s="26">
        <f>Assumptions!D31</f>
        <v>120</v>
      </c>
      <c r="E12" s="26">
        <f>Assumptions!E31</f>
        <v>130</v>
      </c>
      <c r="F12" s="26">
        <f>Assumptions!F31</f>
        <v>140</v>
      </c>
    </row>
    <row r="13" spans="1:7" ht="15" customHeight="1" x14ac:dyDescent="0.3">
      <c r="A13" s="7" t="s">
        <v>59</v>
      </c>
      <c r="B13" s="14">
        <f>B9+B10-B11-B12</f>
        <v>561.44329999999991</v>
      </c>
      <c r="C13" s="14">
        <f>C9+C10-C11-C12</f>
        <v>453.33301600000016</v>
      </c>
      <c r="D13" s="14">
        <f>D9+D10-D11-D12</f>
        <v>561.96933288000002</v>
      </c>
      <c r="E13" s="14">
        <f>E9+E10-E11-E12</f>
        <v>715.05772736000029</v>
      </c>
      <c r="F13" s="14">
        <f>F9+F10-F11-F12</f>
        <v>912.75212922880064</v>
      </c>
    </row>
    <row r="15" spans="1:7" ht="15" customHeight="1" x14ac:dyDescent="0.3">
      <c r="A15" s="3" t="s">
        <v>60</v>
      </c>
      <c r="B15" s="3"/>
      <c r="C15" s="3"/>
      <c r="D15" s="3"/>
      <c r="E15" s="3"/>
      <c r="F15" s="3"/>
      <c r="G15" s="3"/>
    </row>
    <row r="16" spans="1:7" ht="15" customHeight="1" x14ac:dyDescent="0.3">
      <c r="A16" s="6" t="s">
        <v>61</v>
      </c>
      <c r="B16" s="27">
        <v>1</v>
      </c>
      <c r="C16" s="27">
        <v>2</v>
      </c>
      <c r="D16" s="27">
        <v>3</v>
      </c>
      <c r="E16" s="27">
        <v>4</v>
      </c>
      <c r="F16" s="27">
        <v>5</v>
      </c>
    </row>
    <row r="17" spans="1:7" ht="15" customHeight="1" x14ac:dyDescent="0.3">
      <c r="A17" s="6" t="s">
        <v>62</v>
      </c>
      <c r="B17" s="15">
        <f>1/(1+Assumptions!B44)^B16</f>
        <v>0.90045635127882806</v>
      </c>
      <c r="C17" s="15">
        <f>1/(1+Assumptions!B44)^C16</f>
        <v>0.81082164055838024</v>
      </c>
      <c r="D17" s="15">
        <f>1/(1+Assumptions!B44)^D16</f>
        <v>0.73010949599511243</v>
      </c>
      <c r="E17" s="15">
        <f>1/(1+Assumptions!B44)^E16</f>
        <v>0.65743173279778311</v>
      </c>
      <c r="F17" s="15">
        <f>1/(1+Assumptions!B44)^F16</f>
        <v>0.59198857933000915</v>
      </c>
    </row>
    <row r="18" spans="1:7" ht="15" customHeight="1" x14ac:dyDescent="0.3">
      <c r="A18" s="6" t="s">
        <v>63</v>
      </c>
      <c r="B18" s="13">
        <f>B13*B17</f>
        <v>505.55518536794438</v>
      </c>
      <c r="C18" s="13">
        <f>C13*C17</f>
        <v>367.57221975239855</v>
      </c>
      <c r="D18" s="13">
        <f>D13*D17</f>
        <v>410.2991463937264</v>
      </c>
      <c r="E18" s="13">
        <f>E13*E17</f>
        <v>470.10164074872978</v>
      </c>
      <c r="F18" s="13">
        <f>F13*F17</f>
        <v>540.33883626259865</v>
      </c>
    </row>
    <row r="20" spans="1:7" ht="15" customHeight="1" x14ac:dyDescent="0.3">
      <c r="A20" s="3" t="s">
        <v>64</v>
      </c>
      <c r="B20" s="3"/>
      <c r="C20" s="3"/>
      <c r="D20" s="3"/>
      <c r="E20" s="3"/>
      <c r="F20" s="3"/>
      <c r="G20" s="3"/>
    </row>
    <row r="21" spans="1:7" ht="15" customHeight="1" x14ac:dyDescent="0.3">
      <c r="A21" s="6" t="s">
        <v>65</v>
      </c>
      <c r="B21" s="16">
        <f>F13*(1+Assumptions!B47)/(Assumptions!B44-Assumptions!B47)</f>
        <v>15828.594432355174</v>
      </c>
    </row>
    <row r="22" spans="1:7" ht="15" customHeight="1" x14ac:dyDescent="0.3">
      <c r="A22" s="6" t="s">
        <v>66</v>
      </c>
      <c r="B22" s="16">
        <f>B21*F17</f>
        <v>9370.347130800832</v>
      </c>
    </row>
    <row r="24" spans="1:7" ht="15" customHeight="1" x14ac:dyDescent="0.3">
      <c r="A24" s="3" t="s">
        <v>67</v>
      </c>
      <c r="B24" s="3"/>
      <c r="C24" s="3"/>
      <c r="D24" s="3"/>
      <c r="E24" s="3"/>
      <c r="F24" s="3"/>
      <c r="G24" s="3"/>
    </row>
    <row r="25" spans="1:7" ht="15" customHeight="1" x14ac:dyDescent="0.3">
      <c r="A25" s="6" t="s">
        <v>68</v>
      </c>
      <c r="B25" s="26">
        <f>SUM(B18:F18)</f>
        <v>2293.8670285253979</v>
      </c>
    </row>
    <row r="26" spans="1:7" ht="15" customHeight="1" x14ac:dyDescent="0.3">
      <c r="A26" s="7" t="s">
        <v>69</v>
      </c>
      <c r="B26" s="28">
        <f>B25+B22</f>
        <v>11664.214159326229</v>
      </c>
    </row>
    <row r="27" spans="1:7" ht="15" customHeight="1" x14ac:dyDescent="0.3">
      <c r="A27" s="35" t="s">
        <v>96</v>
      </c>
      <c r="B27" s="30">
        <v>279</v>
      </c>
    </row>
    <row r="28" spans="1:7" ht="15" customHeight="1" x14ac:dyDescent="0.3">
      <c r="A28" s="35" t="s">
        <v>98</v>
      </c>
      <c r="B28" s="30">
        <v>3500</v>
      </c>
    </row>
    <row r="29" spans="1:7" ht="15" customHeight="1" x14ac:dyDescent="0.3">
      <c r="A29" s="7" t="s">
        <v>70</v>
      </c>
      <c r="B29" s="28">
        <f>B26-B27+B28</f>
        <v>14885.214159326229</v>
      </c>
    </row>
    <row r="30" spans="1:7" ht="15" customHeight="1" x14ac:dyDescent="0.3">
      <c r="A30" s="35" t="s">
        <v>97</v>
      </c>
      <c r="B30" s="29">
        <f>Assumptions!F23</f>
        <v>17.89</v>
      </c>
    </row>
    <row r="31" spans="1:7" ht="21.75" customHeight="1" x14ac:dyDescent="0.3">
      <c r="A31" s="17" t="s">
        <v>71</v>
      </c>
      <c r="B31" s="18">
        <f>IFERROR(B29/B30,0)</f>
        <v>832.04103741342817</v>
      </c>
    </row>
    <row r="33" spans="1:2" ht="15" customHeight="1" x14ac:dyDescent="0.3">
      <c r="A33" s="6" t="s">
        <v>72</v>
      </c>
      <c r="B33" s="31">
        <v>1119</v>
      </c>
    </row>
    <row r="34" spans="1:2" ht="15" customHeight="1" x14ac:dyDescent="0.3">
      <c r="A34" s="19" t="s">
        <v>73</v>
      </c>
      <c r="B34" s="20">
        <f>IFERROR((B31-B33)/B33,0)</f>
        <v>-0.25644232581463078</v>
      </c>
    </row>
    <row r="35" spans="1:2" ht="15" customHeight="1" x14ac:dyDescent="0.3">
      <c r="A35" s="19" t="s">
        <v>74</v>
      </c>
      <c r="B35" s="21" t="str">
        <f>IF(B34&gt;0.15,"BUY",IF(B34&lt;-0.1,"SELL","HOLD"))</f>
        <v>SELL</v>
      </c>
    </row>
  </sheetData>
  <mergeCells count="6">
    <mergeCell ref="A24:G24"/>
    <mergeCell ref="A1:G1"/>
    <mergeCell ref="A2:G2"/>
    <mergeCell ref="A4:G4"/>
    <mergeCell ref="A15:G15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zoomScaleNormal="100" workbookViewId="0">
      <selection activeCell="A14" sqref="A14:H14"/>
    </sheetView>
  </sheetViews>
  <sheetFormatPr defaultColWidth="8.6640625" defaultRowHeight="14.4" x14ac:dyDescent="0.3"/>
  <cols>
    <col min="1" max="1" width="22" customWidth="1"/>
    <col min="2" max="8" width="14" customWidth="1"/>
  </cols>
  <sheetData>
    <row r="1" spans="1:8" ht="15.75" customHeight="1" x14ac:dyDescent="0.3">
      <c r="A1" s="5" t="s">
        <v>75</v>
      </c>
      <c r="B1" s="5"/>
      <c r="C1" s="5"/>
      <c r="D1" s="5"/>
      <c r="E1" s="5"/>
      <c r="F1" s="5"/>
      <c r="G1" s="5"/>
      <c r="H1" s="5"/>
    </row>
    <row r="2" spans="1:8" ht="15" customHeight="1" x14ac:dyDescent="0.3">
      <c r="A2" s="4" t="s">
        <v>76</v>
      </c>
      <c r="B2" s="4"/>
      <c r="C2" s="4"/>
      <c r="D2" s="4"/>
      <c r="E2" s="4"/>
      <c r="F2" s="4"/>
      <c r="G2" s="4"/>
      <c r="H2" s="4"/>
    </row>
    <row r="3" spans="1:8" ht="15" customHeight="1" x14ac:dyDescent="0.3">
      <c r="A3" s="2"/>
      <c r="B3" s="2"/>
      <c r="C3" s="2"/>
      <c r="D3" s="2"/>
      <c r="E3" s="2"/>
      <c r="F3" s="2"/>
      <c r="G3" s="2"/>
      <c r="H3" s="2"/>
    </row>
    <row r="4" spans="1:8" ht="15" customHeight="1" x14ac:dyDescent="0.3">
      <c r="A4" s="12" t="s">
        <v>77</v>
      </c>
      <c r="B4" s="22">
        <v>0.02</v>
      </c>
      <c r="C4" s="22">
        <v>2.5000000000000001E-2</v>
      </c>
      <c r="D4" s="22">
        <v>0.03</v>
      </c>
      <c r="E4" s="22">
        <v>3.5000000000000003E-2</v>
      </c>
      <c r="F4" s="22">
        <v>0.04</v>
      </c>
      <c r="G4" s="22">
        <v>4.4999999999999998E-2</v>
      </c>
      <c r="H4" s="22">
        <v>0.05</v>
      </c>
    </row>
    <row r="5" spans="1:8" ht="15" customHeight="1" x14ac:dyDescent="0.3">
      <c r="A5" s="22">
        <v>7.0000000000000007E-2</v>
      </c>
      <c r="B5" s="23">
        <f>IFERROR(('DCF Model'!B25+('DCF Model'!F13*(1+0.02)/(A5-0.02))/(1+A5)^5-'DCF Model'!B27+'DCF Model'!B28)*100/'DCF Model'!B30,"-")</f>
        <v>105035.05846052371</v>
      </c>
      <c r="C5" s="23">
        <f>IFERROR(('DCF Model'!B25+('DCF Model'!F13*(1+0.025)/(A5-0.025))/(1+A5)^5-'DCF Model'!B27+'DCF Model'!B28)*100/'DCF Model'!B30,"-")</f>
        <v>113684.63586782555</v>
      </c>
      <c r="D5" s="23">
        <f>IFERROR(('DCF Model'!B25+('DCF Model'!F13*(1+0.03)/(A5-0.03))/(1+A5)^5-'DCF Model'!B27+'DCF Model'!B28)*100/'DCF Model'!B30,"-")</f>
        <v>124496.60762695284</v>
      </c>
      <c r="E5" s="23">
        <f>IFERROR(('DCF Model'!B25+('DCF Model'!F13*(1+0.035)/(A5-0.035))/(1+A5)^5-'DCF Model'!B27+'DCF Model'!B28)*100/'DCF Model'!B30,"-")</f>
        <v>138397.71417440227</v>
      </c>
      <c r="F5" s="23">
        <f>IFERROR(('DCF Model'!B25+('DCF Model'!F13*(1+0.04)/(A5-0.04))/(1+A5)^5-'DCF Model'!B27+'DCF Model'!B28)*100/'DCF Model'!B30,"-")</f>
        <v>156932.52290433482</v>
      </c>
      <c r="G5" s="23">
        <f>IFERROR(('DCF Model'!B25+('DCF Model'!F13*(1+0.045)/(A5-0.045))/(1+A5)^5-'DCF Model'!B27+'DCF Model'!B28)*100/'DCF Model'!B30,"-")</f>
        <v>182881.25512624034</v>
      </c>
      <c r="H5" s="23">
        <f>IFERROR(('DCF Model'!B25+('DCF Model'!F13*(1+0.05)/(A5-0.05))/(1+A5)^5-'DCF Model'!B27+'DCF Model'!B28)*100/'DCF Model'!B30,"-")</f>
        <v>221804.35345909873</v>
      </c>
    </row>
    <row r="6" spans="1:8" ht="15" customHeight="1" x14ac:dyDescent="0.3">
      <c r="A6" s="22">
        <v>7.4999999999999997E-2</v>
      </c>
      <c r="B6" s="23">
        <f>IFERROR(('DCF Model'!B25+('DCF Model'!F13*(1+0.02)/(A6-0.02))/(1+A6)^5-'DCF Model'!B27+'DCF Model'!B28)*100/'DCF Model'!B30,"-")</f>
        <v>96734.465051615654</v>
      </c>
      <c r="C6" s="23">
        <f>IFERROR(('DCF Model'!B25+('DCF Model'!F13*(1+0.025)/(A6-0.025))/(1+A6)^5-'DCF Model'!B27+'DCF Model'!B28)*100/'DCF Model'!B30,"-")</f>
        <v>103680.6440029957</v>
      </c>
      <c r="D6" s="23">
        <f>IFERROR(('DCF Model'!B25+('DCF Model'!F13*(1+0.03)/(A6-0.03))/(1+A6)^5-'DCF Model'!B27+'DCF Model'!B28)*100/'DCF Model'!B30,"-")</f>
        <v>112170.41827690466</v>
      </c>
      <c r="E6" s="23">
        <f>IFERROR(('DCF Model'!B25+('DCF Model'!F13*(1+0.035)/(A6-0.035))/(1+A6)^5-'DCF Model'!B27+'DCF Model'!B28)*100/'DCF Model'!B30,"-")</f>
        <v>122782.63611929085</v>
      </c>
      <c r="F6" s="23">
        <f>IFERROR(('DCF Model'!B25+('DCF Model'!F13*(1+0.04)/(A6-0.04))/(1+A6)^5-'DCF Model'!B27+'DCF Model'!B28)*100/'DCF Model'!B30,"-")</f>
        <v>136426.91620235879</v>
      </c>
      <c r="G6" s="23">
        <f>IFERROR(('DCF Model'!B25+('DCF Model'!F13*(1+0.045)/(A6-0.045))/(1+A6)^5-'DCF Model'!B27+'DCF Model'!B28)*100/'DCF Model'!B30,"-")</f>
        <v>154619.28964644938</v>
      </c>
      <c r="H6" s="23">
        <f>IFERROR(('DCF Model'!B25+('DCF Model'!F13*(1+0.05)/(A6-0.05))/(1+A6)^5-'DCF Model'!B27+'DCF Model'!B28)*100/'DCF Model'!B30,"-")</f>
        <v>180088.61246817629</v>
      </c>
    </row>
    <row r="7" spans="1:8" ht="15" customHeight="1" x14ac:dyDescent="0.3">
      <c r="A7" s="22">
        <v>0.08</v>
      </c>
      <c r="B7" s="23">
        <f>IFERROR(('DCF Model'!B25+('DCF Model'!F13*(1+0.02)/(A7-0.02))/(1+A7)^5-'DCF Model'!B27+'DCF Model'!B28)*100/'DCF Model'!B30,"-")</f>
        <v>89856.517529869976</v>
      </c>
      <c r="C7" s="23">
        <f>IFERROR(('DCF Model'!B25+('DCF Model'!F13*(1+0.025)/(A7-0.025))/(1+A7)^5-'DCF Model'!B27+'DCF Model'!B28)*100/'DCF Model'!B30,"-")</f>
        <v>95538.547978458941</v>
      </c>
      <c r="D7" s="23">
        <f>IFERROR(('DCF Model'!B25+('DCF Model'!F13*(1+0.03)/(A7-0.03))/(1+A7)^5-'DCF Model'!B27+'DCF Model'!B28)*100/'DCF Model'!B30,"-")</f>
        <v>102356.98451676572</v>
      </c>
      <c r="E7" s="23">
        <f>IFERROR(('DCF Model'!B25+('DCF Model'!F13*(1+0.035)/(A7-0.035))/(1+A7)^5-'DCF Model'!B27+'DCF Model'!B28)*100/'DCF Model'!B30,"-")</f>
        <v>110690.62917469622</v>
      </c>
      <c r="F7" s="23">
        <f>IFERROR(('DCF Model'!B25+('DCF Model'!F13*(1+0.04)/(A7-0.04))/(1+A7)^5-'DCF Model'!B27+'DCF Model'!B28)*100/'DCF Model'!B30,"-")</f>
        <v>121107.68499710933</v>
      </c>
      <c r="G7" s="23">
        <f>IFERROR(('DCF Model'!B25+('DCF Model'!F13*(1+0.045)/(A7-0.045))/(1+A7)^5-'DCF Model'!B27+'DCF Model'!B28)*100/'DCF Model'!B30,"-")</f>
        <v>134501.04248306903</v>
      </c>
      <c r="H7" s="23">
        <f>IFERROR(('DCF Model'!B25+('DCF Model'!F13*(1+0.05)/(A7-0.05))/(1+A7)^5-'DCF Model'!B27+'DCF Model'!B28)*100/'DCF Model'!B30,"-")</f>
        <v>152358.85246434872</v>
      </c>
    </row>
    <row r="8" spans="1:8" ht="15" customHeight="1" x14ac:dyDescent="0.3">
      <c r="A8" s="22">
        <v>8.5000000000000006E-2</v>
      </c>
      <c r="B8" s="23">
        <f>IFERROR(('DCF Model'!B25+('DCF Model'!F13*(1+0.02)/(A8-0.02))/(1+A8)^5-'DCF Model'!B27+'DCF Model'!B28)*100/'DCF Model'!B30,"-")</f>
        <v>84071.756074932084</v>
      </c>
      <c r="C8" s="23">
        <f>IFERROR(('DCF Model'!B25+('DCF Model'!F13*(1+0.025)/(A8-0.025))/(1+A8)^5-'DCF Model'!B27+'DCF Model'!B28)*100/'DCF Model'!B30,"-")</f>
        <v>88791.614356756341</v>
      </c>
      <c r="D8" s="23">
        <f>IFERROR(('DCF Model'!B25+('DCF Model'!F13*(1+0.03)/(A8-0.03))/(1+A8)^5-'DCF Model'!B27+'DCF Model'!B28)*100/'DCF Model'!B30,"-")</f>
        <v>94369.628689821388</v>
      </c>
      <c r="E8" s="23">
        <f>IFERROR(('DCF Model'!B25+('DCF Model'!F13*(1+0.035)/(A8-0.035))/(1+A8)^5-'DCF Model'!B27+'DCF Model'!B28)*100/'DCF Model'!B30,"-")</f>
        <v>101063.24588949945</v>
      </c>
      <c r="F8" s="23">
        <f>IFERROR(('DCF Model'!B25+('DCF Model'!F13*(1+0.04)/(A8-0.04))/(1+A8)^5-'DCF Model'!B27+'DCF Model'!B28)*100/'DCF Model'!B30,"-")</f>
        <v>109244.33357799485</v>
      </c>
      <c r="G8" s="23">
        <f>IFERROR(('DCF Model'!B25+('DCF Model'!F13*(1+0.045)/(A8-0.045))/(1+A8)^5-'DCF Model'!B27+'DCF Model'!B28)*100/'DCF Model'!B30,"-")</f>
        <v>119470.69318861411</v>
      </c>
      <c r="H8" s="23">
        <f>IFERROR(('DCF Model'!B25+('DCF Model'!F13*(1+0.05)/(A8-0.05))/(1+A8)^5-'DCF Model'!B27+'DCF Model'!B28)*100/'DCF Model'!B30,"-")</f>
        <v>132618.86983083887</v>
      </c>
    </row>
    <row r="9" spans="1:8" ht="15" customHeight="1" x14ac:dyDescent="0.3">
      <c r="A9" s="22">
        <v>0.09</v>
      </c>
      <c r="B9" s="23">
        <f>IFERROR(('DCF Model'!B25+('DCF Model'!F13*(1+0.02)/(A9-0.02))/(1+A9)^5-'DCF Model'!B27+'DCF Model'!B28)*100/'DCF Model'!B30,"-")</f>
        <v>79144.891306168458</v>
      </c>
      <c r="C9" s="23">
        <f>IFERROR(('DCF Model'!B25+('DCF Model'!F13*(1+0.025)/(A9-0.025))/(1+A9)^5-'DCF Model'!B27+'DCF Model'!B28)*100/'DCF Model'!B30,"-")</f>
        <v>83116.762262372838</v>
      </c>
      <c r="D9" s="23">
        <f>IFERROR(('DCF Model'!B25+('DCF Model'!F13*(1+0.03)/(A9-0.03))/(1+A9)^5-'DCF Model'!B27+'DCF Model'!B28)*100/'DCF Model'!B30,"-")</f>
        <v>87750.611711277976</v>
      </c>
      <c r="E9" s="23">
        <f>IFERROR(('DCF Model'!B25+('DCF Model'!F13*(1+0.035)/(A9-0.035))/(1+A9)^5-'DCF Model'!B27+'DCF Model'!B28)*100/'DCF Model'!B30,"-")</f>
        <v>93226.979241802226</v>
      </c>
      <c r="F9" s="23">
        <f>IFERROR(('DCF Model'!B25+('DCF Model'!F13*(1+0.04)/(A9-0.04))/(1+A9)^5-'DCF Model'!B27+'DCF Model'!B28)*100/'DCF Model'!B30,"-")</f>
        <v>99798.620278431335</v>
      </c>
      <c r="G9" s="23">
        <f>IFERROR(('DCF Model'!B25+('DCF Model'!F13*(1+0.045)/(A9-0.045))/(1+A9)^5-'DCF Model'!B27+'DCF Model'!B28)*100/'DCF Model'!B30,"-")</f>
        <v>107830.62598986689</v>
      </c>
      <c r="H9" s="23">
        <f>IFERROR(('DCF Model'!B25+('DCF Model'!F13*(1+0.05)/(A9-0.05))/(1+A9)^5-'DCF Model'!B27+'DCF Model'!B28)*100/'DCF Model'!B30,"-")</f>
        <v>117870.63312916139</v>
      </c>
    </row>
    <row r="10" spans="1:8" ht="15" customHeight="1" x14ac:dyDescent="0.3">
      <c r="A10" s="22">
        <v>9.5000000000000001E-2</v>
      </c>
      <c r="B10" s="23">
        <f>IFERROR(('DCF Model'!B25+('DCF Model'!F13*(1+0.02)/(A10-0.02))/(1+A10)^5-'DCF Model'!B27+'DCF Model'!B28)*100/'DCF Model'!B30,"-")</f>
        <v>74903.412651468971</v>
      </c>
      <c r="C10" s="23">
        <f>IFERROR(('DCF Model'!B25+('DCF Model'!F13*(1+0.025)/(A10-0.025))/(1+A10)^5-'DCF Model'!B27+'DCF Model'!B28)*100/'DCF Model'!B30,"-")</f>
        <v>78283.257296862808</v>
      </c>
      <c r="D10" s="23">
        <f>IFERROR(('DCF Model'!B25+('DCF Model'!F13*(1+0.03)/(A10-0.03))/(1+A10)^5-'DCF Model'!B27+'DCF Model'!B28)*100/'DCF Model'!B30,"-")</f>
        <v>82183.078041548055</v>
      </c>
      <c r="E10" s="23">
        <f>IFERROR(('DCF Model'!B25+('DCF Model'!F13*(1+0.035)/(A10-0.035))/(1+A10)^5-'DCF Model'!B27+'DCF Model'!B28)*100/'DCF Model'!B30,"-")</f>
        <v>86732.868910347461</v>
      </c>
      <c r="F10" s="23">
        <f>IFERROR(('DCF Model'!B25+('DCF Model'!F13*(1+0.04)/(A10-0.04))/(1+A10)^5-'DCF Model'!B27+'DCF Model'!B28)*100/'DCF Model'!B30,"-")</f>
        <v>92109.894482564981</v>
      </c>
      <c r="G10" s="23">
        <f>IFERROR(('DCF Model'!B25+('DCF Model'!F13*(1+0.045)/(A10-0.045))/(1+A10)^5-'DCF Model'!B27+'DCF Model'!B28)*100/'DCF Model'!B30,"-")</f>
        <v>98562.325169225966</v>
      </c>
      <c r="H10" s="23">
        <f>IFERROR(('DCF Model'!B25+('DCF Model'!F13*(1+0.05)/(A10-0.05))/(1+A10)^5-'DCF Model'!B27+'DCF Model'!B28)*100/'DCF Model'!B30,"-")</f>
        <v>106448.62934181167</v>
      </c>
    </row>
    <row r="11" spans="1:8" ht="15" customHeight="1" x14ac:dyDescent="0.3">
      <c r="A11" s="22">
        <v>0.1</v>
      </c>
      <c r="B11" s="23">
        <f>IFERROR(('DCF Model'!B25+('DCF Model'!F13*(1+0.02)/(A11-0.02))/(1+A11)^5-'DCF Model'!B27+'DCF Model'!B28)*100/'DCF Model'!B30,"-")</f>
        <v>71217.968640438485</v>
      </c>
      <c r="C11" s="23">
        <f>IFERROR(('DCF Model'!B25+('DCF Model'!F13*(1+0.025)/(A11-0.025))/(1+A11)^5-'DCF Model'!B27+'DCF Model'!B28)*100/'DCF Model'!B30,"-")</f>
        <v>74121.927955122606</v>
      </c>
      <c r="D11" s="23">
        <f>IFERROR(('DCF Model'!B25+('DCF Model'!F13*(1+0.03)/(A11-0.03))/(1+A11)^5-'DCF Model'!B27+'DCF Model'!B28)*100/'DCF Model'!B30,"-")</f>
        <v>77440.738600475888</v>
      </c>
      <c r="E11" s="23">
        <f>IFERROR(('DCF Model'!B25+('DCF Model'!F13*(1+0.035)/(A11-0.035))/(1+A11)^5-'DCF Model'!B27+'DCF Model'!B28)*100/'DCF Model'!B30,"-")</f>
        <v>81270.135498960459</v>
      </c>
      <c r="F11" s="23">
        <f>IFERROR(('DCF Model'!B25+('DCF Model'!F13*(1+0.04)/(A11-0.04))/(1+A11)^5-'DCF Model'!B27+'DCF Model'!B28)*100/'DCF Model'!B30,"-")</f>
        <v>85737.765213859122</v>
      </c>
      <c r="G11" s="23">
        <f>IFERROR(('DCF Model'!B25+('DCF Model'!F13*(1+0.045)/(A11-0.045))/(1+A11)^5-'DCF Model'!B27+'DCF Model'!B28)*100/'DCF Model'!B30,"-")</f>
        <v>91017.691240557513</v>
      </c>
      <c r="H11" s="23">
        <f>IFERROR(('DCF Model'!B25+('DCF Model'!F13*(1+0.05)/(A11-0.05))/(1+A11)^5-'DCF Model'!B27+'DCF Model'!B28)*100/'DCF Model'!B30,"-")</f>
        <v>97353.602472595623</v>
      </c>
    </row>
    <row r="13" spans="1:8" ht="15" customHeight="1" x14ac:dyDescent="0.3">
      <c r="A13" s="2"/>
      <c r="B13" s="2"/>
      <c r="C13" s="2"/>
      <c r="D13" s="2"/>
      <c r="E13" s="2"/>
      <c r="F13" s="2"/>
      <c r="G13" s="2"/>
      <c r="H13" s="2"/>
    </row>
    <row r="14" spans="1:8" ht="21.75" customHeight="1" x14ac:dyDescent="0.3">
      <c r="A14" s="1"/>
      <c r="B14" s="1"/>
      <c r="C14" s="1"/>
      <c r="D14" s="1"/>
      <c r="E14" s="1"/>
      <c r="F14" s="1"/>
      <c r="G14" s="1"/>
      <c r="H14" s="1"/>
    </row>
  </sheetData>
  <mergeCells count="5">
    <mergeCell ref="A1:H1"/>
    <mergeCell ref="A2:H2"/>
    <mergeCell ref="A3:H3"/>
    <mergeCell ref="A13:H13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showGridLines="0" zoomScaleNormal="100" workbookViewId="0">
      <selection activeCell="B9" sqref="B9"/>
    </sheetView>
  </sheetViews>
  <sheetFormatPr defaultColWidth="8.6640625" defaultRowHeight="14.4" x14ac:dyDescent="0.3"/>
  <cols>
    <col min="1" max="1" width="35" customWidth="1"/>
    <col min="2" max="2" width="80" customWidth="1"/>
  </cols>
  <sheetData>
    <row r="1" spans="1:2" ht="15.75" customHeight="1" x14ac:dyDescent="0.3">
      <c r="A1" s="5" t="s">
        <v>78</v>
      </c>
      <c r="B1" s="5"/>
    </row>
    <row r="3" spans="1:2" ht="76.2" customHeight="1" x14ac:dyDescent="0.3">
      <c r="A3" s="24" t="s">
        <v>79</v>
      </c>
      <c r="B3" s="25" t="s">
        <v>80</v>
      </c>
    </row>
    <row r="4" spans="1:2" ht="84" customHeight="1" x14ac:dyDescent="0.3">
      <c r="A4" s="24" t="s">
        <v>81</v>
      </c>
      <c r="B4" s="25" t="s">
        <v>82</v>
      </c>
    </row>
    <row r="5" spans="1:2" ht="73.2" customHeight="1" x14ac:dyDescent="0.3">
      <c r="A5" s="24" t="s">
        <v>83</v>
      </c>
      <c r="B5" s="25" t="s">
        <v>84</v>
      </c>
    </row>
    <row r="6" spans="1:2" ht="67.2" customHeight="1" x14ac:dyDescent="0.3">
      <c r="A6" s="24" t="s">
        <v>85</v>
      </c>
      <c r="B6" s="25" t="s">
        <v>86</v>
      </c>
    </row>
    <row r="7" spans="1:2" ht="60" customHeight="1" x14ac:dyDescent="0.3">
      <c r="A7" s="24" t="s">
        <v>87</v>
      </c>
      <c r="B7" s="25" t="s">
        <v>88</v>
      </c>
    </row>
    <row r="8" spans="1:2" ht="60" customHeight="1" x14ac:dyDescent="0.3">
      <c r="A8" s="24" t="s">
        <v>89</v>
      </c>
      <c r="B8" s="25" t="s">
        <v>90</v>
      </c>
    </row>
    <row r="9" spans="1:2" ht="81" customHeight="1" x14ac:dyDescent="0.3">
      <c r="A9" s="24" t="s">
        <v>91</v>
      </c>
      <c r="B9" s="25" t="s">
        <v>92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DCF Model</vt:lpstr>
      <vt:lpstr>Sensitivity</vt:lpstr>
      <vt:lpstr>Investment 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lakshay gupta</cp:lastModifiedBy>
  <cp:revision>0</cp:revision>
  <dcterms:created xsi:type="dcterms:W3CDTF">2026-05-28T19:59:21Z</dcterms:created>
  <dcterms:modified xsi:type="dcterms:W3CDTF">2026-09-25T17:44:15Z</dcterms:modified>
  <dc:language>en-US</dc:language>
</cp:coreProperties>
</file>